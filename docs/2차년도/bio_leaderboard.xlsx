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시트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<sst xmlns="http://schemas.openxmlformats.org/spreadsheetml/2006/main" count="28" uniqueCount="24">
  <si>
    <t xml:space="preserve">T</t>
  </si>
  <si>
    <t xml:space="preserve">Model</t>
  </si>
  <si>
    <t xml:space="preserve">Average ⬆️</t>
  </si>
  <si>
    <t xml:space="preserve">MedMCQA</t>
  </si>
  <si>
    <t xml:space="preserve">MedQA</t>
  </si>
  <si>
    <t xml:space="preserve">MMLU Anatomy</t>
  </si>
  <si>
    <t xml:space="preserve">MMLU Clinical Knowledge</t>
  </si>
  <si>
    <t xml:space="preserve">MMLU College Biology</t>
  </si>
  <si>
    <t xml:space="preserve">MMLU College Medicine</t>
  </si>
  <si>
    <t xml:space="preserve">MMLU Medical Genetics</t>
  </si>
  <si>
    <t xml:space="preserve">MMLU Professional Medicine</t>
  </si>
  <si>
    <t xml:space="preserve">PubMedQA</t>
  </si>
  <si>
    <t xml:space="preserve">🔶</t>
  </si>
  <si>
    <t xml:space="preserve">ProbeMedicalYonseiMAILab/medllama3-v20</t>
  </si>
  <si>
    <t xml:space="preserve">aaditya/OpenBioLLMLlama-70B</t>
  </si>
  <si>
    <t xml:space="preserve">🟢</t>
  </si>
  <si>
    <t xml:space="preserve">Med-PaLM 2 (5 Shots)</t>
  </si>
  <si>
    <t xml:space="preserve">GPT-4</t>
  </si>
  <si>
    <t xml:space="preserve">MMLU-Redux</t>
  </si>
  <si>
    <t xml:space="preserve">GPQA-Diamond</t>
  </si>
  <si>
    <t xml:space="preserve">LiveBench</t>
  </si>
  <si>
    <t xml:space="preserve">Qwen3-32B</t>
  </si>
  <si>
    <t xml:space="preserve">Qwen3-30B-A3B</t>
  </si>
  <si>
    <t xml:space="preserve">QWQ-32B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</si>
</sst>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Noto Sans CJK KR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Noto Sans CJK KR"/>
      <family val="2"/>
    </font>
    <font>
      <sz val="10"/>
      <color rgb="FF0000FF"/>
      <name val="Noto Sans CJK KR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huggingface.co/ProbeMedicalYonseiMAILab/medllama3-v20" TargetMode="External"/><Relationship Id="rId2" Type="http://schemas.openxmlformats.org/officeDocument/2006/relationships/hyperlink" Target="https://huggingface.co/ProbeMedicalYonseiMAILab/medllama3-v20" TargetMode="External"/><Relationship Id="rId3" Type="http://schemas.openxmlformats.org/officeDocument/2006/relationships/hyperlink" Target="https://huggingface.co/aaditya/OpenBioLLMLlama-70B" TargetMode="External"/><Relationship Id="rId4" Type="http://schemas.openxmlformats.org/officeDocument/2006/relationships/hyperlink" Target="https://huggingface.co/Med-PaLM%202%20(5%20Shots)" TargetMode="External"/><Relationship Id="rId5" Type="http://schemas.openxmlformats.org/officeDocument/2006/relationships/hyperlink" Target="https://huggingface.co/GPT-4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21"/>
  <sheetViews>
    <sheetView showFormulas="false" showGridLines="true" showRowColHeaders="true" showZeros="true" rightToLeft="false" tabSelected="true" showOutlineSymbols="true" defaultGridColor="true" view="normal" topLeftCell="A1" colorId="64" zoomScale="136" zoomScaleNormal="136" zoomScalePageLayoutView="100" workbookViewId="0">
      <selection pane="topLeft" activeCell="F21" activeCellId="0" sqref="F21"/>
    </sheetView>
  </sheetViews>
  <sheetFormatPr defaultColWidth="11.55078125" defaultRowHeight="12.8" zeroHeight="false" outlineLevelRow="0" outlineLevelCol="0"/>
  <cols>
    <col collapsed="false" customWidth="true" hidden="false" outlineLevel="0" max="2" min="2" style="0" width="45.3"/>
    <col collapsed="false" customWidth="true" hidden="false" outlineLevel="0" max="3" min="3" style="0" width="17.34"/>
    <col collapsed="false" customWidth="true" hidden="false" outlineLevel="0" max="4" min="4" style="0" width="15.93"/>
    <col collapsed="false" customWidth="true" hidden="false" outlineLevel="0" max="5" min="5" style="0" width="14.91"/>
  </cols>
  <sheetData>
    <row r="1" customFormat="false" ht="46.3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6.25" hidden="false" customHeight="false" outlineLevel="0" collapsed="false">
      <c r="A2" s="2" t="s">
        <v>12</v>
      </c>
      <c r="B2" s="3" t="s">
        <v>13</v>
      </c>
      <c r="C2" s="2" t="n">
        <v>90.01</v>
      </c>
      <c r="D2" s="2" t="n">
        <v>75.4</v>
      </c>
      <c r="E2" s="2" t="n">
        <v>81.07</v>
      </c>
      <c r="F2" s="2" t="n">
        <v>91.85</v>
      </c>
      <c r="G2" s="2" t="n">
        <v>95.85</v>
      </c>
      <c r="H2" s="2" t="n">
        <v>98.61</v>
      </c>
      <c r="I2" s="2" t="n">
        <v>94.8</v>
      </c>
      <c r="J2" s="2" t="n">
        <v>98</v>
      </c>
      <c r="K2" s="2" t="n">
        <v>98.9</v>
      </c>
      <c r="L2" s="2" t="n">
        <v>75.6</v>
      </c>
    </row>
    <row r="3" customFormat="false" ht="16.25" hidden="false" customHeight="false" outlineLevel="0" collapsed="false">
      <c r="A3" s="2" t="s">
        <v>12</v>
      </c>
      <c r="B3" s="3" t="s">
        <v>13</v>
      </c>
      <c r="C3" s="2" t="n">
        <v>89.94</v>
      </c>
      <c r="D3" s="2" t="n">
        <v>75.19</v>
      </c>
      <c r="E3" s="2" t="n">
        <v>81.38</v>
      </c>
      <c r="F3" s="2" t="n">
        <v>91.85</v>
      </c>
      <c r="G3" s="2" t="n">
        <v>95.47</v>
      </c>
      <c r="H3" s="2" t="n">
        <v>98.61</v>
      </c>
      <c r="I3" s="2" t="n">
        <v>94.8</v>
      </c>
      <c r="J3" s="2" t="n">
        <v>98</v>
      </c>
      <c r="K3" s="2" t="n">
        <v>98.53</v>
      </c>
      <c r="L3" s="2" t="n">
        <v>75.6</v>
      </c>
    </row>
    <row r="4" customFormat="false" ht="16.25" hidden="false" customHeight="false" outlineLevel="0" collapsed="false">
      <c r="A4" s="2" t="s">
        <v>12</v>
      </c>
      <c r="B4" s="3" t="s">
        <v>14</v>
      </c>
      <c r="C4" s="2" t="n">
        <v>86.06</v>
      </c>
      <c r="D4" s="2" t="n">
        <v>74.01</v>
      </c>
      <c r="E4" s="2" t="n">
        <v>78.16</v>
      </c>
      <c r="F4" s="2" t="n">
        <v>83.9</v>
      </c>
      <c r="G4" s="2" t="n">
        <v>92.93</v>
      </c>
      <c r="H4" s="2" t="n">
        <v>93.83</v>
      </c>
      <c r="I4" s="2" t="n">
        <v>85.75</v>
      </c>
      <c r="J4" s="2" t="n">
        <v>93.2</v>
      </c>
      <c r="K4" s="2" t="n">
        <v>93.75</v>
      </c>
      <c r="L4" s="2" t="n">
        <v>78.97</v>
      </c>
    </row>
    <row r="5" customFormat="false" ht="16.25" hidden="false" customHeight="false" outlineLevel="0" collapsed="false">
      <c r="A5" s="2" t="s">
        <v>15</v>
      </c>
      <c r="B5" s="3" t="s">
        <v>16</v>
      </c>
      <c r="C5" s="2" t="n">
        <v>84.09</v>
      </c>
      <c r="D5" s="2" t="n">
        <v>71.3</v>
      </c>
      <c r="E5" s="2" t="n">
        <v>79.7</v>
      </c>
      <c r="F5" s="2" t="n">
        <v>77.8</v>
      </c>
      <c r="G5" s="2" t="n">
        <v>88.3</v>
      </c>
      <c r="H5" s="2" t="n">
        <v>94.4</v>
      </c>
      <c r="I5" s="2" t="n">
        <v>80.9</v>
      </c>
      <c r="J5" s="2" t="n">
        <v>90</v>
      </c>
      <c r="K5" s="2" t="n">
        <v>95.2</v>
      </c>
      <c r="L5" s="2" t="n">
        <v>79.2</v>
      </c>
    </row>
    <row r="6" customFormat="false" ht="16.25" hidden="false" customHeight="false" outlineLevel="0" collapsed="false">
      <c r="A6" s="2" t="s">
        <v>15</v>
      </c>
      <c r="B6" s="3" t="s">
        <v>17</v>
      </c>
      <c r="C6" s="2" t="n">
        <v>82.97</v>
      </c>
      <c r="D6" s="2" t="n">
        <v>69.5</v>
      </c>
      <c r="E6" s="2" t="n">
        <v>78.8</v>
      </c>
      <c r="F6" s="2" t="n">
        <v>80</v>
      </c>
      <c r="G6" s="2" t="n">
        <v>86.4</v>
      </c>
      <c r="H6" s="2" t="n">
        <v>95.1</v>
      </c>
      <c r="I6" s="2" t="n">
        <v>76.9</v>
      </c>
      <c r="J6" s="0" t="n">
        <v>91</v>
      </c>
      <c r="K6" s="0" t="n">
        <v>93.8</v>
      </c>
      <c r="L6" s="0" t="n">
        <v>75.2</v>
      </c>
    </row>
    <row r="7" customFormat="false" ht="12.8" hidden="false" customHeight="fals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customFormat="false" ht="12.8" hidden="false" customHeight="false" outlineLevel="0" collapsed="false">
      <c r="A8" s="2"/>
      <c r="B8" s="2"/>
      <c r="C8" s="2" t="n">
        <f aca="false">(D2+E2+L2)/3</f>
        <v>77.3566666666667</v>
      </c>
      <c r="D8" s="2"/>
      <c r="E8" s="2"/>
      <c r="F8" s="2"/>
      <c r="G8" s="2"/>
      <c r="H8" s="2"/>
      <c r="I8" s="2"/>
      <c r="J8" s="2"/>
      <c r="K8" s="2"/>
      <c r="L8" s="2"/>
    </row>
    <row r="9" customFormat="false" ht="13.25" hidden="false" customHeight="false" outlineLevel="0" collapsed="false">
      <c r="A9" s="2"/>
      <c r="B9" s="2"/>
      <c r="C9" s="2" t="n">
        <f aca="false">(D3+E3+L3)/3</f>
        <v>77.39</v>
      </c>
      <c r="D9" s="2"/>
      <c r="E9" s="2"/>
      <c r="F9" s="2"/>
      <c r="G9" s="2"/>
      <c r="H9" s="2"/>
      <c r="I9" s="2"/>
      <c r="J9" s="2"/>
      <c r="K9" s="2"/>
      <c r="L9" s="2"/>
    </row>
    <row r="10" customFormat="false" ht="12.8" hidden="false" customHeight="false" outlineLevel="0" collapsed="false">
      <c r="A10" s="2"/>
      <c r="B10" s="2"/>
      <c r="C10" s="2" t="n">
        <f aca="false">(D4+E4+L4)/3</f>
        <v>77.0466666666667</v>
      </c>
      <c r="D10" s="2"/>
      <c r="E10" s="2"/>
      <c r="F10" s="2"/>
      <c r="G10" s="2"/>
      <c r="H10" s="2"/>
      <c r="I10" s="2"/>
      <c r="J10" s="2"/>
      <c r="K10" s="2"/>
      <c r="L10" s="2"/>
    </row>
    <row r="11" customFormat="false" ht="12.8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customFormat="false" ht="12.8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customFormat="false" ht="12.8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customFormat="false" ht="12.8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customFormat="false" ht="12.8" hidden="false" customHeight="false" outlineLevel="0" collapsed="false">
      <c r="A15" s="2"/>
    </row>
    <row r="17" customFormat="false" ht="16.25" hidden="false" customHeight="false" outlineLevel="0" collapsed="false">
      <c r="C17" s="2" t="s">
        <v>18</v>
      </c>
      <c r="D17" s="0" t="s">
        <v>19</v>
      </c>
      <c r="E17" s="2" t="s">
        <v>20</v>
      </c>
    </row>
    <row r="18" customFormat="false" ht="16.25" hidden="false" customHeight="false" outlineLevel="0" collapsed="false">
      <c r="B18" s="0" t="s">
        <v>21</v>
      </c>
      <c r="C18" s="2" t="n">
        <v>90.9</v>
      </c>
      <c r="D18" s="2" t="n">
        <v>68.4</v>
      </c>
      <c r="E18" s="2" t="n">
        <v>74.9</v>
      </c>
      <c r="F18" s="0" t="n">
        <f aca="false">AVERAGE(C18:E18)</f>
        <v>78.0666666666667</v>
      </c>
    </row>
    <row r="19" customFormat="false" ht="16.25" hidden="false" customHeight="false" outlineLevel="0" collapsed="false">
      <c r="B19" s="2" t="s">
        <v>22</v>
      </c>
      <c r="C19" s="2" t="n">
        <v>89.5</v>
      </c>
      <c r="D19" s="2" t="n">
        <v>65.8</v>
      </c>
      <c r="E19" s="2" t="n">
        <v>74.3</v>
      </c>
      <c r="F19" s="0" t="n">
        <f aca="false">AVERAGE(C19:E19)</f>
        <v>76.5333333333333</v>
      </c>
    </row>
    <row r="20" customFormat="false" ht="16.25" hidden="false" customHeight="false" outlineLevel="0" collapsed="false">
      <c r="B20" s="0" t="s">
        <v>23</v>
      </c>
      <c r="C20" s="2" t="n">
        <v>90</v>
      </c>
      <c r="D20" s="2" t="n">
        <v>65.6</v>
      </c>
      <c r="E20" s="2" t="n">
        <v>72</v>
      </c>
      <c r="F20" s="0" t="n">
        <f aca="false">AVERAGE(C20:E20)</f>
        <v>75.8666666666667</v>
      </c>
    </row>
    <row r="21" customFormat="false" ht="16.25" hidden="false" customHeight="false" outlineLevel="0" collapsed="false">
      <c r="C21" s="2" t="n">
        <v>85.3</v>
      </c>
      <c r="D21" s="2" t="n">
        <v>71.5</v>
      </c>
      <c r="F21" s="0" t="n">
        <f aca="false">AVERAGE(C21:E21)</f>
        <v>78.4</v>
      </c>
    </row>
  </sheetData>
  <hyperlinks>
    <hyperlink ref="B2" r:id="rId1" display="ProbeMedicalYonseiMAILab/medllama3-v20"/>
    <hyperlink ref="B3" r:id="rId2" display="ProbeMedicalYonseiMAILab/medllama3-v20"/>
    <hyperlink ref="B4" r:id="rId3" display="aaditya/OpenBioLLMLlama-70B"/>
    <hyperlink ref="B5" r:id="rId4" display="Med-PaLM 2 (5 Shots)"/>
    <hyperlink ref="B6" r:id="rId5" display="GPT-4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Roman,보통"&amp;12&amp;A</oddHeader>
    <oddFooter>&amp;C&amp;"Times New Roman,보통"&amp;12페이지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2025-09-22T15:43:39Z</dcterms:created>
  <dc:creator/>
  <dc:description/>
  <dc:language>ko-KR</dc:language>
  <cp:lastModifiedBy/>
  <dcterms:modified xsi:type="dcterms:W3CDTF">2025-10-23T14:58:33Z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